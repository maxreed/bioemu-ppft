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dm\Desktop\postdoc\bioemu-ppft\data\"/>
    </mc:Choice>
  </mc:AlternateContent>
  <xr:revisionPtr revIDLastSave="0" documentId="13_ncr:9_{B29A1471-7914-436B-BAD7-43004C6F7250}" xr6:coauthVersionLast="47" xr6:coauthVersionMax="47" xr10:uidLastSave="{00000000-0000-0000-0000-000000000000}"/>
  <bookViews>
    <workbookView xWindow="2385" yWindow="870" windowWidth="24585" windowHeight="14610" xr2:uid="{02736356-C3A0-49D9-9F5C-7B8AE58CEB11}"/>
  </bookViews>
  <sheets>
    <sheet name="validation_set_data" sheetId="1" r:id="rId1"/>
  </sheets>
  <calcPr calcId="0"/>
</workbook>
</file>

<file path=xl/calcChain.xml><?xml version="1.0" encoding="utf-8"?>
<calcChain xmlns="http://schemas.openxmlformats.org/spreadsheetml/2006/main">
  <c r="B19" i="1" l="1"/>
  <c r="F19" i="1"/>
  <c r="F22" i="1"/>
</calcChain>
</file>

<file path=xl/sharedStrings.xml><?xml version="1.0" encoding="utf-8"?>
<sst xmlns="http://schemas.openxmlformats.org/spreadsheetml/2006/main" count="55" uniqueCount="39">
  <si>
    <t>mutant_name</t>
  </si>
  <si>
    <t>percent_folded</t>
  </si>
  <si>
    <t>Y4F</t>
  </si>
  <si>
    <t>L6M</t>
  </si>
  <si>
    <t>L53V</t>
  </si>
  <si>
    <t>Y71F</t>
  </si>
  <si>
    <t>M72F</t>
  </si>
  <si>
    <t>M72V</t>
  </si>
  <si>
    <t>L79M</t>
  </si>
  <si>
    <t>F90Y</t>
  </si>
  <si>
    <t>V103L</t>
  </si>
  <si>
    <t>K104A</t>
  </si>
  <si>
    <t>L113I</t>
  </si>
  <si>
    <t>A130V</t>
  </si>
  <si>
    <t>R149K</t>
  </si>
  <si>
    <t>A155C</t>
  </si>
  <si>
    <t>L159V</t>
  </si>
  <si>
    <t>V160I</t>
  </si>
  <si>
    <t>KRAS</t>
  </si>
  <si>
    <t>Y71F:</t>
  </si>
  <si>
    <t>Y4F:</t>
  </si>
  <si>
    <t>V160I:</t>
  </si>
  <si>
    <t>V103L:</t>
  </si>
  <si>
    <t>R149K:</t>
  </si>
  <si>
    <t>M72V:</t>
  </si>
  <si>
    <t>M72F:</t>
  </si>
  <si>
    <t>L79M:</t>
  </si>
  <si>
    <t>L6M:</t>
  </si>
  <si>
    <t>L53V:</t>
  </si>
  <si>
    <t>L159V:</t>
  </si>
  <si>
    <t>L113I:</t>
  </si>
  <si>
    <t>K104A:</t>
  </si>
  <si>
    <t>F90Y:</t>
  </si>
  <si>
    <t>A155C:</t>
  </si>
  <si>
    <t>A130V:</t>
  </si>
  <si>
    <t>from CEST data</t>
  </si>
  <si>
    <t>from BioEmu 1.1</t>
  </si>
  <si>
    <t>R2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</si>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</sst>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972449783014544"/>
                  <c:y val="0.24805048305132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validation_set_data!$B$3:$B$18</c:f>
              <c:numCache>
                <c:formatCode>General</c:formatCode>
                <c:ptCount val="16"/>
                <c:pt idx="0">
                  <c:v>0.91020000000000001</c:v>
                </c:pt>
                <c:pt idx="1">
                  <c:v>0.91930000000000001</c:v>
                </c:pt>
                <c:pt idx="2">
                  <c:v>0.9113</c:v>
                </c:pt>
                <c:pt idx="3">
                  <c:v>0.87450000000000006</c:v>
                </c:pt>
                <c:pt idx="4">
                  <c:v>0.88480000000000003</c:v>
                </c:pt>
                <c:pt idx="5">
                  <c:v>0.84079999999999999</c:v>
                </c:pt>
                <c:pt idx="6">
                  <c:v>0.82850000000000001</c:v>
                </c:pt>
                <c:pt idx="7">
                  <c:v>0.86240000000000006</c:v>
                </c:pt>
                <c:pt idx="8">
                  <c:v>0.8861</c:v>
                </c:pt>
                <c:pt idx="9">
                  <c:v>0.89680000000000004</c:v>
                </c:pt>
                <c:pt idx="10">
                  <c:v>0.87780000000000002</c:v>
                </c:pt>
                <c:pt idx="11">
                  <c:v>0.89149999999999996</c:v>
                </c:pt>
                <c:pt idx="12">
                  <c:v>0.78200000000000003</c:v>
                </c:pt>
                <c:pt idx="13">
                  <c:v>0.88070000000000004</c:v>
                </c:pt>
                <c:pt idx="14">
                  <c:v>0.89980000000000004</c:v>
                </c:pt>
                <c:pt idx="15">
                  <c:v>0.86380000000000001</c:v>
                </c:pt>
              </c:numCache>
            </c:numRef>
          </c:xVal>
          <c:yVal>
            <c:numRef>
              <c:f>validation_set_data!$F$3:$F$18</c:f>
              <c:numCache>
                <c:formatCode>General</c:formatCode>
                <c:ptCount val="16"/>
                <c:pt idx="0">
                  <c:v>0.347640912718922</c:v>
                </c:pt>
                <c:pt idx="1">
                  <c:v>0.53091459274919595</c:v>
                </c:pt>
                <c:pt idx="2">
                  <c:v>0.39526016854309698</c:v>
                </c:pt>
                <c:pt idx="3">
                  <c:v>0.44710336390120903</c:v>
                </c:pt>
                <c:pt idx="4">
                  <c:v>0.48044611870239501</c:v>
                </c:pt>
                <c:pt idx="5">
                  <c:v>0.43040853051723399</c:v>
                </c:pt>
                <c:pt idx="6">
                  <c:v>0.41015683980758699</c:v>
                </c:pt>
                <c:pt idx="7">
                  <c:v>0.407002451871323</c:v>
                </c:pt>
                <c:pt idx="8">
                  <c:v>0.29983916197481902</c:v>
                </c:pt>
                <c:pt idx="9">
                  <c:v>0.32761467009728701</c:v>
                </c:pt>
                <c:pt idx="10">
                  <c:v>0.48566399614677103</c:v>
                </c:pt>
                <c:pt idx="11">
                  <c:v>0.47349700414477902</c:v>
                </c:pt>
                <c:pt idx="12">
                  <c:v>0.34848587757247501</c:v>
                </c:pt>
                <c:pt idx="13">
                  <c:v>0.51040324550895799</c:v>
                </c:pt>
                <c:pt idx="14">
                  <c:v>0.47730670515854801</c:v>
                </c:pt>
                <c:pt idx="15">
                  <c:v>0.25616378099324599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5C-4601-8770-96AB1B21F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7743"/>
        <c:axId val="13948223"/>
      </c:scatterChart>
      <c:valAx>
        <c:axId val="1394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8223"/>
        <c:crosses val="autoZero"/>
        <c:crossBetween val="midCat"/>
      </c:valAx>
      <c:valAx>
        <c:axId val="139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</xdr:colOff>
      <xdr:row>1</xdr:row>
      <xdr:rowOff>180975</xdr:rowOff>
    </xdr:from>
    <xdr:to>
      <xdr:col>17</xdr:col>
      <xdr:colOff>438150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2F6A5-8012-0F26-1461-96D895ADF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F999-1802-4A04-A726-A8A6436B2F53}">
  <dimension ref="A1:F22"/>
  <sheetViews>
    <sheetView tabSelected="1" workbookViewId="0">
      <selection activeCell="A19" sqref="A19:B19"/>
    </sheetView>
  </sheetViews>
  <sheetFormatPr defaultRowHeight="15" x14ac:dyDescent="0.25"/>
  <sheetData>
    <row r="1" spans="1:6" x14ac:dyDescent="0.25">
      <c r="A1" t="s">
        <v>35</v>
      </c>
      <c r="D1" t="s">
        <v>36</v>
      </c>
    </row>
    <row r="2" spans="1:6" x14ac:dyDescent="0.25">
      <c r="A2" t="s">
        <v>0</v>
      </c>
      <c r="B2" t="s">
        <v>1</v>
      </c>
    </row>
    <row r="3" spans="1:6" x14ac:dyDescent="0.25">
      <c r="A3" t="s">
        <v>13</v>
      </c>
      <c r="B3">
        <v>0.91020000000000001</v>
      </c>
      <c r="D3" t="s">
        <v>18</v>
      </c>
      <c r="E3" t="s">
        <v>34</v>
      </c>
      <c r="F3">
        <v>0.347640912718922</v>
      </c>
    </row>
    <row r="4" spans="1:6" x14ac:dyDescent="0.25">
      <c r="A4" t="s">
        <v>15</v>
      </c>
      <c r="B4">
        <v>0.91930000000000001</v>
      </c>
      <c r="D4" t="s">
        <v>18</v>
      </c>
      <c r="E4" t="s">
        <v>33</v>
      </c>
      <c r="F4">
        <v>0.53091459274919595</v>
      </c>
    </row>
    <row r="5" spans="1:6" x14ac:dyDescent="0.25">
      <c r="A5" t="s">
        <v>9</v>
      </c>
      <c r="B5">
        <v>0.9113</v>
      </c>
      <c r="D5" t="s">
        <v>18</v>
      </c>
      <c r="E5" t="s">
        <v>32</v>
      </c>
      <c r="F5">
        <v>0.39526016854309698</v>
      </c>
    </row>
    <row r="6" spans="1:6" x14ac:dyDescent="0.25">
      <c r="A6" t="s">
        <v>11</v>
      </c>
      <c r="B6">
        <v>0.87450000000000006</v>
      </c>
      <c r="D6" t="s">
        <v>18</v>
      </c>
      <c r="E6" t="s">
        <v>31</v>
      </c>
      <c r="F6">
        <v>0.44710336390120903</v>
      </c>
    </row>
    <row r="7" spans="1:6" x14ac:dyDescent="0.25">
      <c r="A7" t="s">
        <v>12</v>
      </c>
      <c r="B7">
        <v>0.88480000000000003</v>
      </c>
      <c r="D7" t="s">
        <v>18</v>
      </c>
      <c r="E7" t="s">
        <v>30</v>
      </c>
      <c r="F7">
        <v>0.48044611870239501</v>
      </c>
    </row>
    <row r="8" spans="1:6" x14ac:dyDescent="0.25">
      <c r="A8" t="s">
        <v>16</v>
      </c>
      <c r="B8">
        <v>0.84079999999999999</v>
      </c>
      <c r="D8" t="s">
        <v>18</v>
      </c>
      <c r="E8" t="s">
        <v>29</v>
      </c>
      <c r="F8">
        <v>0.43040853051723399</v>
      </c>
    </row>
    <row r="9" spans="1:6" x14ac:dyDescent="0.25">
      <c r="A9" t="s">
        <v>4</v>
      </c>
      <c r="B9">
        <v>0.82850000000000001</v>
      </c>
      <c r="D9" t="s">
        <v>18</v>
      </c>
      <c r="E9" t="s">
        <v>28</v>
      </c>
      <c r="F9">
        <v>0.41015683980758699</v>
      </c>
    </row>
    <row r="10" spans="1:6" x14ac:dyDescent="0.25">
      <c r="A10" t="s">
        <v>3</v>
      </c>
      <c r="B10">
        <v>0.86240000000000006</v>
      </c>
      <c r="D10" t="s">
        <v>18</v>
      </c>
      <c r="E10" t="s">
        <v>27</v>
      </c>
      <c r="F10">
        <v>0.407002451871323</v>
      </c>
    </row>
    <row r="11" spans="1:6" x14ac:dyDescent="0.25">
      <c r="A11" t="s">
        <v>8</v>
      </c>
      <c r="B11">
        <v>0.8861</v>
      </c>
      <c r="D11" t="s">
        <v>18</v>
      </c>
      <c r="E11" t="s">
        <v>26</v>
      </c>
      <c r="F11">
        <v>0.29983916197481902</v>
      </c>
    </row>
    <row r="12" spans="1:6" x14ac:dyDescent="0.25">
      <c r="A12" t="s">
        <v>6</v>
      </c>
      <c r="B12">
        <v>0.89680000000000004</v>
      </c>
      <c r="D12" t="s">
        <v>18</v>
      </c>
      <c r="E12" t="s">
        <v>25</v>
      </c>
      <c r="F12">
        <v>0.32761467009728701</v>
      </c>
    </row>
    <row r="13" spans="1:6" x14ac:dyDescent="0.25">
      <c r="A13" t="s">
        <v>7</v>
      </c>
      <c r="B13">
        <v>0.87780000000000002</v>
      </c>
      <c r="D13" t="s">
        <v>18</v>
      </c>
      <c r="E13" t="s">
        <v>24</v>
      </c>
      <c r="F13">
        <v>0.48566399614677103</v>
      </c>
    </row>
    <row r="14" spans="1:6" x14ac:dyDescent="0.25">
      <c r="A14" t="s">
        <v>14</v>
      </c>
      <c r="B14">
        <v>0.89149999999999996</v>
      </c>
      <c r="D14" t="s">
        <v>18</v>
      </c>
      <c r="E14" t="s">
        <v>23</v>
      </c>
      <c r="F14">
        <v>0.47349700414477902</v>
      </c>
    </row>
    <row r="15" spans="1:6" x14ac:dyDescent="0.25">
      <c r="A15" t="s">
        <v>10</v>
      </c>
      <c r="B15">
        <v>0.78200000000000003</v>
      </c>
      <c r="D15" t="s">
        <v>18</v>
      </c>
      <c r="E15" t="s">
        <v>22</v>
      </c>
      <c r="F15">
        <v>0.34848587757247501</v>
      </c>
    </row>
    <row r="16" spans="1:6" x14ac:dyDescent="0.25">
      <c r="A16" t="s">
        <v>17</v>
      </c>
      <c r="B16">
        <v>0.88070000000000004</v>
      </c>
      <c r="D16" t="s">
        <v>18</v>
      </c>
      <c r="E16" t="s">
        <v>21</v>
      </c>
      <c r="F16">
        <v>0.51040324550895799</v>
      </c>
    </row>
    <row r="17" spans="1:6" x14ac:dyDescent="0.25">
      <c r="A17" t="s">
        <v>2</v>
      </c>
      <c r="B17">
        <v>0.89980000000000004</v>
      </c>
      <c r="D17" t="s">
        <v>18</v>
      </c>
      <c r="E17" t="s">
        <v>20</v>
      </c>
      <c r="F17">
        <v>0.47730670515854801</v>
      </c>
    </row>
    <row r="18" spans="1:6" x14ac:dyDescent="0.25">
      <c r="A18" t="s">
        <v>5</v>
      </c>
      <c r="B18">
        <v>0.86380000000000001</v>
      </c>
      <c r="D18" t="s">
        <v>18</v>
      </c>
      <c r="E18" t="s">
        <v>19</v>
      </c>
      <c r="F18">
        <v>0.25616378099324599</v>
      </c>
    </row>
    <row r="19" spans="1:6" x14ac:dyDescent="0.25">
      <c r="A19" t="s">
        <v>38</v>
      </c>
      <c r="B19">
        <f>AVERAGE(B3:B18)</f>
        <v>0.87564375000000005</v>
      </c>
      <c r="E19" t="s">
        <v>38</v>
      </c>
      <c r="F19">
        <f>AVERAGE(F3:F18)</f>
        <v>0.41424421377549037</v>
      </c>
    </row>
    <row r="22" spans="1:6" x14ac:dyDescent="0.25">
      <c r="E22" t="s">
        <v>37</v>
      </c>
      <c r="F22">
        <f>RSQ(F3:F18,B3:B18)</f>
        <v>6.2607741730652755E-2</v>
      </c>
    </row>
  </sheetData>
  <sortState xmlns:xlrd2="http://schemas.microsoft.com/office/spreadsheetml/2017/richdata2" ref="E3:F18">
    <sortCondition ref="E3:E1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validation_set_data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Max Reed</dc:creator>
  <cp:lastModifiedBy>Max Reed</cp:lastModifiedBy>
  <dcterms:created xsi:type="dcterms:W3CDTF">2026-02-28T02:24:14Z</dcterms:created>
  <dcterms:modified xsi:type="dcterms:W3CDTF">2026-02-28T02:43:28Z</dcterms:modified>
</cp:coreProperties>
</file>